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thir\Desktop\Data Analytics\EXCEL\"/>
    </mc:Choice>
  </mc:AlternateContent>
  <xr:revisionPtr revIDLastSave="0" documentId="13_ncr:1_{3568D95D-1D59-43B6-8A53-C26FEB4D821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ataset" sheetId="2" r:id="rId2"/>
    <sheet name="Answers" sheetId="3" r:id="rId3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<sst xmlns="http://schemas.openxmlformats.org/spreadsheetml/2006/main" count="172" uniqueCount="123">
  <si>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</si>
  <si>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</si>
  <si>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</si>
  <si>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</si>
  <si>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</si>
  <si>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</si>
  <si>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</si>
  <si>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</si>
  <si>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</si>
  <si>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</si>
  <si>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</si>
  <si>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</si>
  <si>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</si>
  <si>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</si>
  <si>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</si>
  <si>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</si>
  <si>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</si>
  <si>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</si>
  <si>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</si>
  <si>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</si>
  <si>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</si>
  <si>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</si>
  <si>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</si>
  <si>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</si>
  <si>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</si>
  <si>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</si>
  <si>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</si>
  <si>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</si>
  <si>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</si>
  <si>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</si>
  <si>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</si>
  <si>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</si>
  <si>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</si>
  <si>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</si>
  <si>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</si>
  <si>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</si>
  <si>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</si>
  <si>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</si>
  <si>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</si>
  <si>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</si>
  <si>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</si>
  <si>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</si>
  <si>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</si>
  <si>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</si>
  <si>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</si>
  <si>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</si>
  <si>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</si>
  <si>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</si>
  <si>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</si>
  <si>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</si>
  <si>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</si>
  <si>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</si>
  <si>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</si>
  <si>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</si>
  <si>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</si>
  <si>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</si>
  <si>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</si>
  <si>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</si>
  <si>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</si>
  <si>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</si>
  <si>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</si>
  <si>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</si>
  <si>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</si>
  <si>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</si>
  <si>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</si>
  <si>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</si>
  <si>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</si>
  <si>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</si>
  <si>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</si>
  <si>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</si>
  <si>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</si>
  <si>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</si>
  <si>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</si>
  <si>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</si>
  <si>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</si>
  <si>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</si>
  <si>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</si>
  <si>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</si>
  <si>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</si>
  <si>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</si>
  <si>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</si>
  <si>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</si>
  <si>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</si>
  <si>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</si>
  <si>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</si>
  <si>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</si>
  <si>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</si>
  <si>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</si>
  <si>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</si>
  <si>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</si>
  <si>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</si>
  <si>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</si>
  <si>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</si>
  <si>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</si>
  <si>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</si>
  <si>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</si>
  <si>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</si>
  <si>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</si>
  <si>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</si>
  <si>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</si>
  <si>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</si>
  <si>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</si>
  <si>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</si>
  <si>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</si>
  <si>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</si>
  <si>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</si>
  <si>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</si>
  <si>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</si>
  <si>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</si>
  <si>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</si>
  <si>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</si>
  <si>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Question</t>
  </si>
  <si>
    <t>Formula</t>
  </si>
  <si>
    <t>Number of Products</t>
  </si>
  <si>
    <t>Average Price</t>
  </si>
  <si>
    <t>Minimum Price</t>
  </si>
  <si>
    <t>Maximum Price</t>
  </si>
  <si>
    <t>Total electronics price</t>
  </si>
  <si>
    <t>Product below $100</t>
  </si>
  <si>
    <t>Price Range</t>
  </si>
  <si>
    <t>Day</t>
  </si>
  <si>
    <t>Country Code</t>
  </si>
  <si>
    <t>Country 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</si>
</sst>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6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164" fontId="5" fillId="2" borderId="0" xfId="0" applyNumberFormat="1" applyFont="1" applyFill="1" applyAlignment="1">
      <alignment horizontal="center"/>
    </xf>
    <xf numFmtId="164" fontId="6" fillId="0" borderId="0" xfId="0" applyNumberFormat="1" applyFont="1"/>
    <xf numFmtId="164" fontId="6" fillId="3" borderId="0" xfId="0" applyNumberFormat="1" applyFont="1" applyFill="1"/>
    <xf numFmtId="164" fontId="0" fillId="0" borderId="0" xfId="0" applyNumberFormat="1"/>
    <xf numFmtId="0" fontId="7" fillId="0" borderId="0" xfId="0" applyFont="1"/>
    <xf numFmtId="0" fontId="7" fillId="4" borderId="2" xfId="0" applyFont="1" applyFill="1" applyBorder="1"/>
    <xf numFmtId="0" fontId="7" fillId="4" borderId="3" xfId="0" applyFont="1" applyFill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0" fillId="0" borderId="1" xfId="0" applyBorder="1"/>
    <xf numFmtId="0" fontId="8" fillId="0" borderId="8" xfId="0" applyFont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6" fillId="0" borderId="11" xfId="0" applyFont="1" applyBorder="1"/>
    <xf numFmtId="0" fontId="0" fillId="0" borderId="12" xfId="0" applyBorder="1"/>
    <xf numFmtId="0" fontId="6" fillId="0" borderId="13" xfId="0" applyFont="1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min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minor"/>
      </font>
      <fill>
        <patternFill patternType="solid">
          <fgColor indexed="64"/>
          <bgColor theme="7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[$$-409]* #,##0.00_ ;_-[$$-409]* \-#,##0.00\ ;_-[$$-409]* &quot;-&quot;??_ ;_-@_ 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7405FB-7546-449F-9506-92A467F8D1AD}" name="Table2" displayName="Table2" ref="A1:J35" totalsRowShown="0" headerRowDxfId="17">
  <autoFilter ref="A1:J35" xr:uid="{FB7405FB-7546-449F-9506-92A467F8D1AD}"/>
  <tableColumns count="10">
    <tableColumn id="1" xr3:uid="{6E100E16-F69D-4E4A-A3AD-7247465F12FB}" name="Product ID" dataDxfId="16"/>
    <tableColumn id="2" xr3:uid="{072B4953-3078-4E46-921E-798D9B40EE24}" name="Product Name" dataDxfId="15"/>
    <tableColumn id="3" xr3:uid="{0DCD6997-B601-45D4-869D-EDED2AFA18DC}" name="Brand Name" dataDxfId="14"/>
    <tableColumn id="4" xr3:uid="{D5325BE7-BFC2-4E50-B29A-143AD726A4DC}" name="Price ($)" dataDxfId="13"/>
    <tableColumn id="5" xr3:uid="{7A54981C-E483-4BB3-B516-2C13CE204DEA}" name="Quantity" dataDxfId="12"/>
    <tableColumn id="6" xr3:uid="{67ED5549-688B-417B-A356-52E5D365FB62}" name="Category" dataDxfId="11"/>
    <tableColumn id="7" xr3:uid="{C1F2068C-000E-4296-9104-FD2AC0454F35}" name="Price Range" dataDxfId="10">
      <calculatedColumnFormula>IF(D2&gt;=500,"High Price","Low Price")</calculatedColumnFormula>
    </tableColumn>
    <tableColumn id="8" xr3:uid="{DCFD0F05-432A-4729-9B5B-4883A160AE94}" name="Day" dataDxfId="9">
      <calculatedColumnFormula>LEFT(A2,2)</calculatedColumnFormula>
    </tableColumn>
    <tableColumn id="9" xr3:uid="{5F6EAC9D-ADB5-4903-9F9C-486966E43E2F}" name="Country Code" dataDxfId="8">
      <calculatedColumnFormula>RIGHT(A2,2)</calculatedColumnFormula>
    </tableColumn>
    <tableColumn id="10" xr3:uid="{CEF657C7-20D6-4AF3-B654-09890CAF6266}" name="Country Code2" dataDxfId="7">
      <calculatedColumnFormula>MID(A2,4,3)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4E1ED5-77ED-4ADC-8952-E30BA31B756F}" name="Table1" displayName="Table1" ref="A1:B8" totalsRowShown="0" headerRowDxfId="6" dataDxfId="4" headerRowBorderDxfId="5" tableBorderDxfId="3" totalsRowBorderDxfId="2">
  <tableColumns count="2">
    <tableColumn id="1" xr3:uid="{55B29AE8-6C37-4A9B-BEA9-FAD0D90A42C4}" name="Question" dataDxfId="1"/>
    <tableColumn id="2" xr3:uid="{C763324A-9CC6-4659-B251-CB91D5A6ECC3}" name="Formula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11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>
      <selection activeCell="L10" sqref="L10"/>
    </sheetView>
  </sheetViews>
  <sheetFormatPr defaultColWidth="12.6328125" defaultRowHeight="15" customHeight="1" x14ac:dyDescent="0.25"/>
  <cols>
    <col min="1" max="1" width="12.6328125" customWidth="1"/>
    <col min="2" max="2" width="15" customWidth="1"/>
    <col min="3" max="3" width="13.36328125" customWidth="1"/>
    <col min="4" max="4" width="12.6328125" style="11" customWidth="1"/>
    <col min="5" max="6" width="12.6328125" customWidth="1"/>
    <col min="7" max="7" width="15.7265625" bestFit="1" customWidth="1"/>
    <col min="8" max="8" width="8.6328125" bestFit="1" customWidth="1"/>
    <col min="9" max="9" width="14.7265625" customWidth="1"/>
    <col min="10" max="10" width="18.36328125" bestFit="1" customWidth="1"/>
  </cols>
  <sheetData>
    <row r="1" spans="1:10" ht="15.75" customHeight="1" x14ac:dyDescent="0.3">
      <c r="A1" s="5" t="s">
        <v>17</v>
      </c>
      <c r="B1" s="5" t="s">
        <v>18</v>
      </c>
      <c r="C1" s="5" t="s">
        <v>19</v>
      </c>
      <c r="D1" s="8" t="s">
        <v>20</v>
      </c>
      <c r="E1" s="5" t="s">
        <v>21</v>
      </c>
      <c r="F1" s="5" t="s">
        <v>22</v>
      </c>
      <c r="G1" s="20" t="s">
        <v>119</v>
      </c>
      <c r="H1" s="21" t="s">
        <v>120</v>
      </c>
      <c r="I1" s="21" t="s">
        <v>121</v>
      </c>
      <c r="J1" s="22" t="s">
        <v>122</v>
      </c>
    </row>
    <row r="2" spans="1:10" ht="15.75" customHeight="1" x14ac:dyDescent="0.25">
      <c r="A2" s="6" t="s">
        <v>23</v>
      </c>
      <c r="B2" s="6" t="s">
        <v>24</v>
      </c>
      <c r="C2" s="6" t="s">
        <v>25</v>
      </c>
      <c r="D2" s="9">
        <v>1000</v>
      </c>
      <c r="E2" s="6">
        <v>30</v>
      </c>
      <c r="F2" s="6" t="s">
        <v>26</v>
      </c>
      <c r="G2" s="23" t="str">
        <f>IF(D2&gt;=500,"High Price","Low Price")</f>
        <v>High Price</v>
      </c>
      <c r="H2" s="19" t="str">
        <f>LEFT(A2,2)</f>
        <v>28</v>
      </c>
      <c r="I2" s="19" t="str">
        <f>RIGHT(A2,2)</f>
        <v>US</v>
      </c>
      <c r="J2" s="24" t="str">
        <f>MID(A2,4,3)</f>
        <v>JAN</v>
      </c>
    </row>
    <row r="3" spans="1:10" ht="15.75" customHeight="1" x14ac:dyDescent="0.25">
      <c r="A3" s="7" t="s">
        <v>27</v>
      </c>
      <c r="B3" s="7" t="s">
        <v>28</v>
      </c>
      <c r="C3" s="7" t="s">
        <v>29</v>
      </c>
      <c r="D3" s="10">
        <v>80</v>
      </c>
      <c r="E3" s="7">
        <v>15</v>
      </c>
      <c r="F3" s="7" t="s">
        <v>30</v>
      </c>
      <c r="G3" s="23" t="str">
        <f t="shared" ref="G3:G35" si="0">IF(D3&gt;=500,"High Price","Low Price")</f>
        <v>Low Price</v>
      </c>
      <c r="H3" s="19" t="str">
        <f t="shared" ref="H3:H35" si="1">LEFT(A3,2)</f>
        <v>15</v>
      </c>
      <c r="I3" s="19" t="str">
        <f t="shared" ref="I3:I35" si="2">RIGHT(A3,2)</f>
        <v>US</v>
      </c>
      <c r="J3" s="24" t="str">
        <f t="shared" ref="J3:J35" si="3">MID(A3,4,3)</f>
        <v>FEB</v>
      </c>
    </row>
    <row r="4" spans="1:10" ht="15.75" customHeight="1" x14ac:dyDescent="0.25">
      <c r="A4" s="6" t="s">
        <v>31</v>
      </c>
      <c r="B4" s="6" t="s">
        <v>32</v>
      </c>
      <c r="C4" s="6" t="s">
        <v>33</v>
      </c>
      <c r="D4" s="9">
        <v>130</v>
      </c>
      <c r="E4" s="6">
        <v>40</v>
      </c>
      <c r="F4" s="6" t="s">
        <v>34</v>
      </c>
      <c r="G4" s="23" t="str">
        <f t="shared" si="0"/>
        <v>Low Price</v>
      </c>
      <c r="H4" s="19" t="str">
        <f t="shared" si="1"/>
        <v>03</v>
      </c>
      <c r="I4" s="19" t="str">
        <f t="shared" si="2"/>
        <v>US</v>
      </c>
      <c r="J4" s="24" t="str">
        <f t="shared" si="3"/>
        <v>MAR</v>
      </c>
    </row>
    <row r="5" spans="1:10" ht="15.75" customHeight="1" x14ac:dyDescent="0.25">
      <c r="A5" s="7" t="s">
        <v>35</v>
      </c>
      <c r="B5" s="7" t="s">
        <v>36</v>
      </c>
      <c r="C5" s="7" t="s">
        <v>37</v>
      </c>
      <c r="D5" s="10">
        <v>900</v>
      </c>
      <c r="E5" s="7">
        <v>25</v>
      </c>
      <c r="F5" s="7" t="s">
        <v>26</v>
      </c>
      <c r="G5" s="23" t="str">
        <f t="shared" si="0"/>
        <v>High Price</v>
      </c>
      <c r="H5" s="19" t="str">
        <f t="shared" si="1"/>
        <v>11</v>
      </c>
      <c r="I5" s="19" t="str">
        <f t="shared" si="2"/>
        <v>US</v>
      </c>
      <c r="J5" s="24" t="str">
        <f t="shared" si="3"/>
        <v>APR</v>
      </c>
    </row>
    <row r="6" spans="1:10" ht="15.75" customHeight="1" x14ac:dyDescent="0.25">
      <c r="A6" s="6" t="s">
        <v>38</v>
      </c>
      <c r="B6" s="6" t="s">
        <v>39</v>
      </c>
      <c r="C6" s="6" t="s">
        <v>40</v>
      </c>
      <c r="D6" s="9">
        <v>70</v>
      </c>
      <c r="E6" s="6">
        <v>20</v>
      </c>
      <c r="F6" s="6" t="s">
        <v>41</v>
      </c>
      <c r="G6" s="23" t="str">
        <f t="shared" si="0"/>
        <v>Low Price</v>
      </c>
      <c r="H6" s="19" t="str">
        <f t="shared" si="1"/>
        <v>22</v>
      </c>
      <c r="I6" s="19" t="str">
        <f t="shared" si="2"/>
        <v>US</v>
      </c>
      <c r="J6" s="24" t="str">
        <f t="shared" si="3"/>
        <v>MAY</v>
      </c>
    </row>
    <row r="7" spans="1:10" ht="15.75" customHeight="1" x14ac:dyDescent="0.25">
      <c r="A7" s="7" t="s">
        <v>42</v>
      </c>
      <c r="B7" s="7" t="s">
        <v>43</v>
      </c>
      <c r="C7" s="7" t="s">
        <v>44</v>
      </c>
      <c r="D7" s="10">
        <v>200</v>
      </c>
      <c r="E7" s="7">
        <v>45</v>
      </c>
      <c r="F7" s="7" t="s">
        <v>26</v>
      </c>
      <c r="G7" s="23" t="str">
        <f t="shared" si="0"/>
        <v>Low Price</v>
      </c>
      <c r="H7" s="19" t="str">
        <f t="shared" si="1"/>
        <v>07</v>
      </c>
      <c r="I7" s="19" t="str">
        <f t="shared" si="2"/>
        <v>UK</v>
      </c>
      <c r="J7" s="24" t="str">
        <f t="shared" si="3"/>
        <v>JUN</v>
      </c>
    </row>
    <row r="8" spans="1:10" ht="15.75" customHeight="1" x14ac:dyDescent="0.25">
      <c r="A8" s="6" t="s">
        <v>45</v>
      </c>
      <c r="B8" s="6" t="s">
        <v>46</v>
      </c>
      <c r="C8" s="6" t="s">
        <v>47</v>
      </c>
      <c r="D8" s="9">
        <v>30</v>
      </c>
      <c r="E8" s="6">
        <v>5</v>
      </c>
      <c r="F8" s="6" t="s">
        <v>30</v>
      </c>
      <c r="G8" s="23" t="str">
        <f t="shared" si="0"/>
        <v>Low Price</v>
      </c>
      <c r="H8" s="19" t="str">
        <f t="shared" si="1"/>
        <v>19</v>
      </c>
      <c r="I8" s="19" t="str">
        <f t="shared" si="2"/>
        <v>UK</v>
      </c>
      <c r="J8" s="24" t="str">
        <f t="shared" si="3"/>
        <v>JUL</v>
      </c>
    </row>
    <row r="9" spans="1:10" ht="15.75" customHeight="1" x14ac:dyDescent="0.25">
      <c r="A9" s="7" t="s">
        <v>48</v>
      </c>
      <c r="B9" s="7" t="s">
        <v>49</v>
      </c>
      <c r="C9" s="7" t="s">
        <v>50</v>
      </c>
      <c r="D9" s="10">
        <v>90</v>
      </c>
      <c r="E9" s="7">
        <v>35</v>
      </c>
      <c r="F9" s="7" t="s">
        <v>34</v>
      </c>
      <c r="G9" s="23" t="str">
        <f t="shared" si="0"/>
        <v>Low Price</v>
      </c>
      <c r="H9" s="19" t="str">
        <f t="shared" si="1"/>
        <v>23</v>
      </c>
      <c r="I9" s="19" t="str">
        <f t="shared" si="2"/>
        <v>UK</v>
      </c>
      <c r="J9" s="24" t="str">
        <f t="shared" si="3"/>
        <v>AUG</v>
      </c>
    </row>
    <row r="10" spans="1:10" ht="15.75" customHeight="1" x14ac:dyDescent="0.25">
      <c r="A10" s="6" t="s">
        <v>51</v>
      </c>
      <c r="B10" s="6" t="s">
        <v>52</v>
      </c>
      <c r="C10" s="6" t="s">
        <v>53</v>
      </c>
      <c r="D10" s="9">
        <v>500</v>
      </c>
      <c r="E10" s="6">
        <v>50</v>
      </c>
      <c r="F10" s="6" t="s">
        <v>26</v>
      </c>
      <c r="G10" s="23" t="str">
        <f t="shared" si="0"/>
        <v>High Price</v>
      </c>
      <c r="H10" s="19" t="str">
        <f t="shared" si="1"/>
        <v>05</v>
      </c>
      <c r="I10" s="19" t="str">
        <f t="shared" si="2"/>
        <v>UK</v>
      </c>
      <c r="J10" s="24" t="str">
        <f t="shared" si="3"/>
        <v>SEP</v>
      </c>
    </row>
    <row r="11" spans="1:10" ht="15.75" customHeight="1" x14ac:dyDescent="0.25">
      <c r="A11" s="7" t="s">
        <v>54</v>
      </c>
      <c r="B11" s="7" t="s">
        <v>55</v>
      </c>
      <c r="C11" s="7" t="s">
        <v>56</v>
      </c>
      <c r="D11" s="10">
        <v>130</v>
      </c>
      <c r="E11" s="7">
        <v>10</v>
      </c>
      <c r="F11" s="7" t="s">
        <v>41</v>
      </c>
      <c r="G11" s="23" t="str">
        <f t="shared" si="0"/>
        <v>Low Price</v>
      </c>
      <c r="H11" s="19" t="str">
        <f t="shared" si="1"/>
        <v>14</v>
      </c>
      <c r="I11" s="19" t="str">
        <f t="shared" si="2"/>
        <v>UK</v>
      </c>
      <c r="J11" s="24" t="str">
        <f t="shared" si="3"/>
        <v>OCT</v>
      </c>
    </row>
    <row r="12" spans="1:10" ht="15.75" customHeight="1" x14ac:dyDescent="0.25">
      <c r="A12" s="6" t="s">
        <v>57</v>
      </c>
      <c r="B12" s="6" t="s">
        <v>24</v>
      </c>
      <c r="C12" s="6" t="s">
        <v>58</v>
      </c>
      <c r="D12" s="9">
        <v>950</v>
      </c>
      <c r="E12" s="6">
        <v>25</v>
      </c>
      <c r="F12" s="6" t="s">
        <v>26</v>
      </c>
      <c r="G12" s="23" t="str">
        <f t="shared" si="0"/>
        <v>High Price</v>
      </c>
      <c r="H12" s="19" t="str">
        <f t="shared" si="1"/>
        <v>17</v>
      </c>
      <c r="I12" s="19" t="str">
        <f t="shared" si="2"/>
        <v>IN</v>
      </c>
      <c r="J12" s="24" t="str">
        <f t="shared" si="3"/>
        <v>JUN</v>
      </c>
    </row>
    <row r="13" spans="1:10" ht="15.75" customHeight="1" x14ac:dyDescent="0.25">
      <c r="A13" s="7" t="s">
        <v>59</v>
      </c>
      <c r="B13" s="7" t="s">
        <v>28</v>
      </c>
      <c r="C13" s="7" t="s">
        <v>47</v>
      </c>
      <c r="D13" s="10">
        <v>90</v>
      </c>
      <c r="E13" s="7">
        <v>40</v>
      </c>
      <c r="F13" s="7" t="s">
        <v>30</v>
      </c>
      <c r="G13" s="23" t="str">
        <f t="shared" si="0"/>
        <v>Low Price</v>
      </c>
      <c r="H13" s="19" t="str">
        <f t="shared" si="1"/>
        <v>25</v>
      </c>
      <c r="I13" s="19" t="str">
        <f t="shared" si="2"/>
        <v>AU</v>
      </c>
      <c r="J13" s="24" t="str">
        <f t="shared" si="3"/>
        <v>NOV</v>
      </c>
    </row>
    <row r="14" spans="1:10" ht="15.75" customHeight="1" x14ac:dyDescent="0.25">
      <c r="A14" s="6" t="s">
        <v>60</v>
      </c>
      <c r="B14" s="6" t="s">
        <v>32</v>
      </c>
      <c r="C14" s="6" t="s">
        <v>61</v>
      </c>
      <c r="D14" s="9">
        <v>120</v>
      </c>
      <c r="E14" s="6">
        <v>35</v>
      </c>
      <c r="F14" s="6" t="s">
        <v>34</v>
      </c>
      <c r="G14" s="23" t="str">
        <f t="shared" si="0"/>
        <v>Low Price</v>
      </c>
      <c r="H14" s="19" t="str">
        <f t="shared" si="1"/>
        <v>08</v>
      </c>
      <c r="I14" s="19" t="str">
        <f t="shared" si="2"/>
        <v>DE</v>
      </c>
      <c r="J14" s="24" t="str">
        <f t="shared" si="3"/>
        <v>DEC</v>
      </c>
    </row>
    <row r="15" spans="1:10" ht="15.75" customHeight="1" x14ac:dyDescent="0.25">
      <c r="A15" s="7" t="s">
        <v>62</v>
      </c>
      <c r="B15" s="7" t="s">
        <v>63</v>
      </c>
      <c r="C15" s="7" t="s">
        <v>64</v>
      </c>
      <c r="D15" s="10">
        <v>150</v>
      </c>
      <c r="E15" s="7">
        <v>15</v>
      </c>
      <c r="F15" s="7" t="s">
        <v>26</v>
      </c>
      <c r="G15" s="23" t="str">
        <f t="shared" si="0"/>
        <v>Low Price</v>
      </c>
      <c r="H15" s="19" t="str">
        <f t="shared" si="1"/>
        <v>18</v>
      </c>
      <c r="I15" s="19" t="str">
        <f t="shared" si="2"/>
        <v>CA</v>
      </c>
      <c r="J15" s="24" t="str">
        <f t="shared" si="3"/>
        <v>FEB</v>
      </c>
    </row>
    <row r="16" spans="1:10" ht="15.75" customHeight="1" x14ac:dyDescent="0.25">
      <c r="A16" s="6" t="s">
        <v>65</v>
      </c>
      <c r="B16" s="6" t="s">
        <v>43</v>
      </c>
      <c r="C16" s="6" t="s">
        <v>66</v>
      </c>
      <c r="D16" s="9">
        <v>250</v>
      </c>
      <c r="E16" s="6">
        <v>20</v>
      </c>
      <c r="F16" s="6" t="s">
        <v>26</v>
      </c>
      <c r="G16" s="23" t="str">
        <f t="shared" si="0"/>
        <v>Low Price</v>
      </c>
      <c r="H16" s="19" t="str">
        <f t="shared" si="1"/>
        <v>16</v>
      </c>
      <c r="I16" s="19" t="str">
        <f t="shared" si="2"/>
        <v>ES</v>
      </c>
      <c r="J16" s="24" t="str">
        <f t="shared" si="3"/>
        <v>APR</v>
      </c>
    </row>
    <row r="17" spans="1:10" ht="15.75" customHeight="1" x14ac:dyDescent="0.25">
      <c r="A17" s="7" t="s">
        <v>67</v>
      </c>
      <c r="B17" s="7" t="s">
        <v>68</v>
      </c>
      <c r="C17" s="7" t="s">
        <v>69</v>
      </c>
      <c r="D17" s="10">
        <v>50</v>
      </c>
      <c r="E17" s="7">
        <v>35</v>
      </c>
      <c r="F17" s="7" t="s">
        <v>70</v>
      </c>
      <c r="G17" s="23" t="str">
        <f t="shared" si="0"/>
        <v>Low Price</v>
      </c>
      <c r="H17" s="19" t="str">
        <f t="shared" si="1"/>
        <v>21</v>
      </c>
      <c r="I17" s="19" t="str">
        <f t="shared" si="2"/>
        <v>CA</v>
      </c>
      <c r="J17" s="24" t="str">
        <f t="shared" si="3"/>
        <v>AUG</v>
      </c>
    </row>
    <row r="18" spans="1:10" ht="15.75" customHeight="1" x14ac:dyDescent="0.25">
      <c r="A18" s="6" t="s">
        <v>71</v>
      </c>
      <c r="B18" s="6" t="s">
        <v>63</v>
      </c>
      <c r="C18" s="6" t="s">
        <v>72</v>
      </c>
      <c r="D18" s="9">
        <v>160</v>
      </c>
      <c r="E18" s="6">
        <v>15</v>
      </c>
      <c r="F18" s="6" t="s">
        <v>26</v>
      </c>
      <c r="G18" s="23" t="str">
        <f t="shared" si="0"/>
        <v>Low Price</v>
      </c>
      <c r="H18" s="19" t="str">
        <f t="shared" si="1"/>
        <v>20</v>
      </c>
      <c r="I18" s="19" t="str">
        <f t="shared" si="2"/>
        <v>CN</v>
      </c>
      <c r="J18" s="24" t="str">
        <f t="shared" si="3"/>
        <v>AUG</v>
      </c>
    </row>
    <row r="19" spans="1:10" ht="15.75" customHeight="1" x14ac:dyDescent="0.25">
      <c r="A19" s="7" t="s">
        <v>73</v>
      </c>
      <c r="B19" s="7" t="s">
        <v>24</v>
      </c>
      <c r="C19" s="7" t="s">
        <v>74</v>
      </c>
      <c r="D19" s="10">
        <v>980</v>
      </c>
      <c r="E19" s="7">
        <v>10</v>
      </c>
      <c r="F19" s="7" t="s">
        <v>26</v>
      </c>
      <c r="G19" s="23" t="str">
        <f t="shared" si="0"/>
        <v>High Price</v>
      </c>
      <c r="H19" s="19" t="str">
        <f t="shared" si="1"/>
        <v>27</v>
      </c>
      <c r="I19" s="19" t="str">
        <f t="shared" si="2"/>
        <v>IT</v>
      </c>
      <c r="J19" s="24" t="str">
        <f t="shared" si="3"/>
        <v>JAN</v>
      </c>
    </row>
    <row r="20" spans="1:10" ht="15.75" customHeight="1" x14ac:dyDescent="0.25">
      <c r="A20" s="6" t="s">
        <v>75</v>
      </c>
      <c r="B20" s="6" t="s">
        <v>76</v>
      </c>
      <c r="C20" s="6" t="s">
        <v>77</v>
      </c>
      <c r="D20" s="9">
        <v>150</v>
      </c>
      <c r="E20" s="6">
        <v>15</v>
      </c>
      <c r="F20" s="6" t="s">
        <v>30</v>
      </c>
      <c r="G20" s="23" t="str">
        <f t="shared" si="0"/>
        <v>Low Price</v>
      </c>
      <c r="H20" s="19" t="str">
        <f t="shared" si="1"/>
        <v>01</v>
      </c>
      <c r="I20" s="19" t="str">
        <f t="shared" si="2"/>
        <v>UK</v>
      </c>
      <c r="J20" s="24" t="str">
        <f t="shared" si="3"/>
        <v>MAR</v>
      </c>
    </row>
    <row r="21" spans="1:10" ht="15.75" customHeight="1" x14ac:dyDescent="0.25">
      <c r="A21" s="7" t="s">
        <v>78</v>
      </c>
      <c r="B21" s="7" t="s">
        <v>79</v>
      </c>
      <c r="C21" s="7" t="s">
        <v>80</v>
      </c>
      <c r="D21" s="10">
        <v>200</v>
      </c>
      <c r="E21" s="7">
        <v>10</v>
      </c>
      <c r="F21" s="7" t="s">
        <v>41</v>
      </c>
      <c r="G21" s="23" t="str">
        <f t="shared" si="0"/>
        <v>Low Price</v>
      </c>
      <c r="H21" s="19" t="str">
        <f t="shared" si="1"/>
        <v>14</v>
      </c>
      <c r="I21" s="19" t="str">
        <f t="shared" si="2"/>
        <v>US</v>
      </c>
      <c r="J21" s="24" t="str">
        <f t="shared" si="3"/>
        <v>AUG</v>
      </c>
    </row>
    <row r="22" spans="1:10" ht="15.75" customHeight="1" x14ac:dyDescent="0.25">
      <c r="A22" s="6" t="s">
        <v>81</v>
      </c>
      <c r="B22" s="6" t="s">
        <v>82</v>
      </c>
      <c r="C22" s="6" t="s">
        <v>83</v>
      </c>
      <c r="D22" s="9">
        <v>700</v>
      </c>
      <c r="E22" s="6">
        <v>50</v>
      </c>
      <c r="F22" s="6" t="s">
        <v>26</v>
      </c>
      <c r="G22" s="23" t="str">
        <f t="shared" si="0"/>
        <v>High Price</v>
      </c>
      <c r="H22" s="19" t="str">
        <f t="shared" si="1"/>
        <v>14</v>
      </c>
      <c r="I22" s="19" t="str">
        <f t="shared" si="2"/>
        <v>RU</v>
      </c>
      <c r="J22" s="24" t="str">
        <f t="shared" si="3"/>
        <v>MAY</v>
      </c>
    </row>
    <row r="23" spans="1:10" ht="15.75" customHeight="1" x14ac:dyDescent="0.25">
      <c r="A23" s="7" t="s">
        <v>84</v>
      </c>
      <c r="B23" s="7" t="s">
        <v>85</v>
      </c>
      <c r="C23" s="7" t="s">
        <v>86</v>
      </c>
      <c r="D23" s="10">
        <v>80</v>
      </c>
      <c r="E23" s="7">
        <v>20</v>
      </c>
      <c r="F23" s="7" t="s">
        <v>34</v>
      </c>
      <c r="G23" s="23" t="str">
        <f t="shared" si="0"/>
        <v>Low Price</v>
      </c>
      <c r="H23" s="19" t="str">
        <f t="shared" si="1"/>
        <v>09</v>
      </c>
      <c r="I23" s="19" t="str">
        <f t="shared" si="2"/>
        <v>CA</v>
      </c>
      <c r="J23" s="24" t="str">
        <f t="shared" si="3"/>
        <v>JAN</v>
      </c>
    </row>
    <row r="24" spans="1:10" ht="15.75" customHeight="1" x14ac:dyDescent="0.25">
      <c r="A24" s="6" t="s">
        <v>87</v>
      </c>
      <c r="B24" s="6" t="s">
        <v>88</v>
      </c>
      <c r="C24" s="6" t="s">
        <v>89</v>
      </c>
      <c r="D24" s="9">
        <v>150</v>
      </c>
      <c r="E24" s="6">
        <v>30</v>
      </c>
      <c r="F24" s="6" t="s">
        <v>26</v>
      </c>
      <c r="G24" s="23" t="str">
        <f t="shared" si="0"/>
        <v>Low Price</v>
      </c>
      <c r="H24" s="19" t="str">
        <f t="shared" si="1"/>
        <v>19</v>
      </c>
      <c r="I24" s="19" t="str">
        <f t="shared" si="2"/>
        <v>BR</v>
      </c>
      <c r="J24" s="24" t="str">
        <f t="shared" si="3"/>
        <v>JUL</v>
      </c>
    </row>
    <row r="25" spans="1:10" ht="15.75" customHeight="1" x14ac:dyDescent="0.25">
      <c r="A25" s="7" t="s">
        <v>67</v>
      </c>
      <c r="B25" s="7" t="s">
        <v>68</v>
      </c>
      <c r="C25" s="7" t="s">
        <v>69</v>
      </c>
      <c r="D25" s="10">
        <v>50</v>
      </c>
      <c r="E25" s="7">
        <v>35</v>
      </c>
      <c r="F25" s="7" t="s">
        <v>70</v>
      </c>
      <c r="G25" s="23" t="str">
        <f t="shared" si="0"/>
        <v>Low Price</v>
      </c>
      <c r="H25" s="19" t="str">
        <f t="shared" si="1"/>
        <v>21</v>
      </c>
      <c r="I25" s="19" t="str">
        <f t="shared" si="2"/>
        <v>CA</v>
      </c>
      <c r="J25" s="24" t="str">
        <f t="shared" si="3"/>
        <v>AUG</v>
      </c>
    </row>
    <row r="26" spans="1:10" ht="15.75" customHeight="1" x14ac:dyDescent="0.25">
      <c r="A26" s="6" t="s">
        <v>90</v>
      </c>
      <c r="B26" s="6" t="s">
        <v>36</v>
      </c>
      <c r="C26" s="6" t="s">
        <v>91</v>
      </c>
      <c r="D26" s="9">
        <v>800</v>
      </c>
      <c r="E26" s="6">
        <v>45</v>
      </c>
      <c r="F26" s="6" t="s">
        <v>26</v>
      </c>
      <c r="G26" s="23" t="str">
        <f t="shared" si="0"/>
        <v>High Price</v>
      </c>
      <c r="H26" s="19" t="str">
        <f t="shared" si="1"/>
        <v>29</v>
      </c>
      <c r="I26" s="19" t="str">
        <f t="shared" si="2"/>
        <v>CA</v>
      </c>
      <c r="J26" s="24" t="str">
        <f t="shared" si="3"/>
        <v>SEP</v>
      </c>
    </row>
    <row r="27" spans="1:10" ht="15.75" customHeight="1" x14ac:dyDescent="0.25">
      <c r="A27" s="7" t="s">
        <v>92</v>
      </c>
      <c r="B27" s="7" t="s">
        <v>76</v>
      </c>
      <c r="C27" s="7" t="s">
        <v>93</v>
      </c>
      <c r="D27" s="10">
        <v>130</v>
      </c>
      <c r="E27" s="7">
        <v>25</v>
      </c>
      <c r="F27" s="7" t="s">
        <v>30</v>
      </c>
      <c r="G27" s="23" t="str">
        <f t="shared" si="0"/>
        <v>Low Price</v>
      </c>
      <c r="H27" s="19" t="str">
        <f t="shared" si="1"/>
        <v>03</v>
      </c>
      <c r="I27" s="19" t="str">
        <f t="shared" si="2"/>
        <v>CA</v>
      </c>
      <c r="J27" s="24" t="str">
        <f t="shared" si="3"/>
        <v>JUN</v>
      </c>
    </row>
    <row r="28" spans="1:10" ht="15.75" customHeight="1" x14ac:dyDescent="0.25">
      <c r="A28" s="6" t="s">
        <v>94</v>
      </c>
      <c r="B28" s="6" t="s">
        <v>49</v>
      </c>
      <c r="C28" s="6" t="s">
        <v>95</v>
      </c>
      <c r="D28" s="9">
        <v>400</v>
      </c>
      <c r="E28" s="6">
        <v>40</v>
      </c>
      <c r="F28" s="6" t="s">
        <v>34</v>
      </c>
      <c r="G28" s="23" t="str">
        <f t="shared" si="0"/>
        <v>Low Price</v>
      </c>
      <c r="H28" s="19" t="str">
        <f t="shared" si="1"/>
        <v>11</v>
      </c>
      <c r="I28" s="19" t="str">
        <f t="shared" si="2"/>
        <v>CA</v>
      </c>
      <c r="J28" s="24" t="str">
        <f t="shared" si="3"/>
        <v>JUL</v>
      </c>
    </row>
    <row r="29" spans="1:10" ht="15.75" customHeight="1" x14ac:dyDescent="0.25">
      <c r="A29" s="7" t="s">
        <v>65</v>
      </c>
      <c r="B29" s="7" t="s">
        <v>43</v>
      </c>
      <c r="C29" s="7" t="s">
        <v>66</v>
      </c>
      <c r="D29" s="10">
        <v>230</v>
      </c>
      <c r="E29" s="7">
        <v>20</v>
      </c>
      <c r="F29" s="7" t="s">
        <v>26</v>
      </c>
      <c r="G29" s="23" t="str">
        <f t="shared" si="0"/>
        <v>Low Price</v>
      </c>
      <c r="H29" s="19" t="str">
        <f t="shared" si="1"/>
        <v>16</v>
      </c>
      <c r="I29" s="19" t="str">
        <f t="shared" si="2"/>
        <v>ES</v>
      </c>
      <c r="J29" s="24" t="str">
        <f t="shared" si="3"/>
        <v>APR</v>
      </c>
    </row>
    <row r="30" spans="1:10" ht="15.75" customHeight="1" x14ac:dyDescent="0.25">
      <c r="A30" s="6" t="s">
        <v>96</v>
      </c>
      <c r="B30" s="6" t="s">
        <v>97</v>
      </c>
      <c r="C30" s="6" t="s">
        <v>98</v>
      </c>
      <c r="D30" s="9">
        <v>60</v>
      </c>
      <c r="E30" s="6">
        <v>30</v>
      </c>
      <c r="F30" s="6" t="s">
        <v>30</v>
      </c>
      <c r="G30" s="23" t="str">
        <f t="shared" si="0"/>
        <v>Low Price</v>
      </c>
      <c r="H30" s="19" t="str">
        <f t="shared" si="1"/>
        <v>07</v>
      </c>
      <c r="I30" s="19" t="str">
        <f t="shared" si="2"/>
        <v>CA</v>
      </c>
      <c r="J30" s="24" t="str">
        <f t="shared" si="3"/>
        <v>MAR</v>
      </c>
    </row>
    <row r="31" spans="1:10" ht="15.75" customHeight="1" x14ac:dyDescent="0.25">
      <c r="A31" s="7" t="s">
        <v>99</v>
      </c>
      <c r="B31" s="7" t="s">
        <v>100</v>
      </c>
      <c r="C31" s="7" t="s">
        <v>101</v>
      </c>
      <c r="D31" s="10">
        <v>40</v>
      </c>
      <c r="E31" s="7">
        <v>10</v>
      </c>
      <c r="F31" s="7" t="s">
        <v>34</v>
      </c>
      <c r="G31" s="23" t="str">
        <f t="shared" si="0"/>
        <v>Low Price</v>
      </c>
      <c r="H31" s="19" t="str">
        <f t="shared" si="1"/>
        <v>13</v>
      </c>
      <c r="I31" s="19" t="str">
        <f t="shared" si="2"/>
        <v>CA</v>
      </c>
      <c r="J31" s="24" t="str">
        <f t="shared" si="3"/>
        <v>APR</v>
      </c>
    </row>
    <row r="32" spans="1:10" ht="15.75" customHeight="1" x14ac:dyDescent="0.25">
      <c r="A32" s="6" t="s">
        <v>102</v>
      </c>
      <c r="B32" s="6" t="s">
        <v>88</v>
      </c>
      <c r="C32" s="6" t="s">
        <v>103</v>
      </c>
      <c r="D32" s="9">
        <v>130</v>
      </c>
      <c r="E32" s="6">
        <v>5</v>
      </c>
      <c r="F32" s="6" t="s">
        <v>26</v>
      </c>
      <c r="G32" s="23" t="str">
        <f t="shared" si="0"/>
        <v>Low Price</v>
      </c>
      <c r="H32" s="19" t="str">
        <f t="shared" si="1"/>
        <v>24</v>
      </c>
      <c r="I32" s="19" t="str">
        <f t="shared" si="2"/>
        <v>CA</v>
      </c>
      <c r="J32" s="24" t="str">
        <f t="shared" si="3"/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10">
        <v>50</v>
      </c>
      <c r="E33" s="7">
        <v>50</v>
      </c>
      <c r="F33" s="7" t="s">
        <v>30</v>
      </c>
      <c r="G33" s="23" t="str">
        <f t="shared" si="0"/>
        <v>Low Price</v>
      </c>
      <c r="H33" s="19" t="str">
        <f t="shared" si="1"/>
        <v>02</v>
      </c>
      <c r="I33" s="19" t="str">
        <f t="shared" si="2"/>
        <v>CA</v>
      </c>
      <c r="J33" s="24" t="str">
        <f t="shared" si="3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9">
        <v>950</v>
      </c>
      <c r="E34" s="6">
        <v>25</v>
      </c>
      <c r="F34" s="6" t="s">
        <v>26</v>
      </c>
      <c r="G34" s="23" t="str">
        <f t="shared" si="0"/>
        <v>High Price</v>
      </c>
      <c r="H34" s="19" t="str">
        <f t="shared" si="1"/>
        <v>17</v>
      </c>
      <c r="I34" s="19" t="str">
        <f t="shared" si="2"/>
        <v>IN</v>
      </c>
      <c r="J34" s="24" t="str">
        <f t="shared" si="3"/>
        <v>JUN</v>
      </c>
    </row>
    <row r="35" spans="1:10" ht="15.75" customHeight="1" thickBot="1" x14ac:dyDescent="0.3">
      <c r="A35" s="7" t="s">
        <v>107</v>
      </c>
      <c r="B35" s="7" t="s">
        <v>108</v>
      </c>
      <c r="C35" s="7" t="s">
        <v>109</v>
      </c>
      <c r="D35" s="10">
        <v>100</v>
      </c>
      <c r="E35" s="7">
        <v>20</v>
      </c>
      <c r="F35" s="7" t="s">
        <v>70</v>
      </c>
      <c r="G35" s="25" t="str">
        <f t="shared" si="0"/>
        <v>Low Price</v>
      </c>
      <c r="H35" s="26" t="str">
        <f t="shared" si="1"/>
        <v>09</v>
      </c>
      <c r="I35" s="26" t="str">
        <f t="shared" si="2"/>
        <v>FR</v>
      </c>
      <c r="J35" s="27" t="str">
        <f t="shared" si="3"/>
        <v>JUL</v>
      </c>
    </row>
    <row r="36" spans="1:10" ht="15.75" customHeight="1" x14ac:dyDescent="0.25">
      <c r="A36" s="6"/>
    </row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1A4-AC54-4E2E-8D4F-ACCC2D9A2FB6}">
  <sheetPr>
    <tabColor rgb="FF00B050"/>
  </sheetPr>
  <dimension ref="A1:B8"/>
  <sheetViews>
    <sheetView tabSelected="1" workbookViewId="0">
      <selection activeCell="I7" sqref="I7"/>
    </sheetView>
  </sheetViews>
  <sheetFormatPr defaultRowHeight="20" x14ac:dyDescent="0.4"/>
  <cols>
    <col min="1" max="1" width="29.36328125" style="12" bestFit="1" customWidth="1"/>
    <col min="2" max="2" width="19.36328125" bestFit="1" customWidth="1"/>
  </cols>
  <sheetData>
    <row r="1" spans="1:2" x14ac:dyDescent="0.4">
      <c r="A1" s="13" t="s">
        <v>111</v>
      </c>
      <c r="B1" s="14" t="s">
        <v>112</v>
      </c>
    </row>
    <row r="2" spans="1:2" x14ac:dyDescent="0.4">
      <c r="A2" s="15" t="s">
        <v>110</v>
      </c>
      <c r="B2" s="16">
        <f>SUM(Dataset!D2:D35)</f>
        <v>10100</v>
      </c>
    </row>
    <row r="3" spans="1:2" x14ac:dyDescent="0.4">
      <c r="A3" s="15" t="s">
        <v>113</v>
      </c>
      <c r="B3" s="16">
        <f>COUNTA(Dataset!B2:B35)</f>
        <v>34</v>
      </c>
    </row>
    <row r="4" spans="1:2" x14ac:dyDescent="0.4">
      <c r="A4" s="15" t="s">
        <v>114</v>
      </c>
      <c r="B4" s="16">
        <f>AVERAGE(Dataset!D2:D35)</f>
        <v>297.05882352941177</v>
      </c>
    </row>
    <row r="5" spans="1:2" x14ac:dyDescent="0.4">
      <c r="A5" s="15" t="s">
        <v>115</v>
      </c>
      <c r="B5" s="16">
        <f>MIN(Dataset!D2:D35)</f>
        <v>30</v>
      </c>
    </row>
    <row r="6" spans="1:2" x14ac:dyDescent="0.4">
      <c r="A6" s="15" t="s">
        <v>116</v>
      </c>
      <c r="B6" s="16">
        <f>MAX(Dataset!D2:D35)</f>
        <v>1000</v>
      </c>
    </row>
    <row r="7" spans="1:2" x14ac:dyDescent="0.4">
      <c r="A7" s="15" t="s">
        <v>117</v>
      </c>
      <c r="B7" s="16">
        <f>SUMIF(Dataset!F2:F35,"Electronics",Dataset!D2:D35)</f>
        <v>8050</v>
      </c>
    </row>
    <row r="8" spans="1:2" x14ac:dyDescent="0.4">
      <c r="A8" s="17" t="s">
        <v>118</v>
      </c>
      <c r="B8" s="18">
        <f>COUNTIF(Dataset!D2:D35,"&lt;100")</f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athir</dc:creator>
  <cp:lastModifiedBy>athira thamban</cp:lastModifiedBy>
  <dcterms:created xsi:type="dcterms:W3CDTF">2026-10-21T14:38:47Z</dcterms:created>
  <dcterms:modified xsi:type="dcterms:W3CDTF">2026-10-21T14:40:32Z</dcterms:modified>
</cp:coreProperties>
</file>